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64147067_nebraska_edu/Documents/UNO/Engineer/CIVE 202/Lab 4/"/>
    </mc:Choice>
  </mc:AlternateContent>
  <xr:revisionPtr revIDLastSave="0" documentId="8_{CF843B92-6C61-422D-8139-5452D5BEEBD3}"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F25" i="11"/>
  <c r="E25" i="11"/>
  <c r="F24" i="11"/>
  <c r="F23" i="11"/>
  <c r="E24" i="11"/>
  <c r="E23" i="11"/>
  <c r="E22" i="11"/>
  <c r="F21" i="11"/>
  <c r="E30" i="11"/>
  <c r="E29" i="11"/>
  <c r="E28" i="11"/>
  <c r="F28" i="11"/>
  <c r="F27" i="11"/>
  <c r="F17" i="11"/>
  <c r="E17" i="11"/>
  <c r="F16" i="11"/>
  <c r="F30" i="11"/>
  <c r="F13" i="11"/>
  <c r="E13" i="11"/>
  <c r="F12" i="11"/>
  <c r="F11" i="11"/>
  <c r="E12" i="11"/>
  <c r="E11" i="11"/>
  <c r="E10" i="11"/>
  <c r="F9" i="11"/>
  <c r="H7" i="11"/>
  <c r="E9" i="11" l="1"/>
  <c r="E21" i="11" s="1"/>
  <c r="E27" i="11"/>
  <c r="I5" i="11"/>
  <c r="H33" i="11"/>
  <c r="H32" i="11"/>
  <c r="H26" i="11"/>
  <c r="H20" i="11"/>
  <c r="H14" i="11"/>
  <c r="H8" i="11"/>
  <c r="H21" i="11" l="1"/>
  <c r="H22" i="11"/>
  <c r="H9" i="11"/>
  <c r="F10" i="11"/>
  <c r="E15" i="11"/>
  <c r="E16" i="11" s="1"/>
  <c r="I6" i="11"/>
  <c r="H31" i="11" l="1"/>
  <c r="H28" i="11"/>
  <c r="H30" i="11"/>
  <c r="H27" i="11"/>
  <c r="H25" i="11"/>
  <c r="H10" i="11"/>
  <c r="H23" i="11"/>
  <c r="F15" i="11"/>
  <c r="H15" i="11" s="1"/>
  <c r="H13" i="11"/>
  <c r="J5" i="11"/>
  <c r="K5" i="11" s="1"/>
  <c r="L5" i="11" s="1"/>
  <c r="M5" i="11" s="1"/>
  <c r="N5" i="11" s="1"/>
  <c r="O5" i="11" s="1"/>
  <c r="P5" i="11" s="1"/>
  <c r="I4" i="11"/>
  <c r="F29" i="11" l="1"/>
  <c r="H29" i="11" s="1"/>
  <c r="H24" i="11"/>
  <c r="H16" i="11"/>
  <c r="E18" i="11"/>
  <c r="E19" i="11" s="1"/>
  <c r="H11" i="11"/>
  <c r="H12" i="11"/>
  <c r="P4" i="11"/>
  <c r="Q5" i="11"/>
  <c r="R5" i="11" s="1"/>
  <c r="S5" i="11" s="1"/>
  <c r="T5" i="11" s="1"/>
  <c r="U5" i="11" s="1"/>
  <c r="V5" i="11" s="1"/>
  <c r="W5" i="11" s="1"/>
  <c r="J6" i="11"/>
  <c r="F19" i="11" l="1"/>
  <c r="H19" i="11" s="1"/>
  <c r="F18" i="11"/>
  <c r="H18" i="11" s="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<sst xmlns="http://schemas.openxmlformats.org/spreadsheetml/2006/main" count="66" uniqueCount="51">
  <si>
    <t xml:space="preserve">Project #4 </t>
  </si>
  <si>
    <t>Project start:</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</si>
  <si>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</si>
  <si>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</si>
  <si>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</si>
  <si>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</si>
  <si>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</si>
  <si>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</si>
  <si>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</si>
  <si>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</si>
  <si>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</si>
  <si>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Data Preperation / Data Cleaning</t>
  </si>
  <si>
    <t>Read/Review Client Prompt</t>
  </si>
  <si>
    <t>Team A</t>
  </si>
  <si>
    <t>Clean and Merge Data</t>
  </si>
  <si>
    <t>Create New Columns for New Risk Definition</t>
  </si>
  <si>
    <t xml:space="preserve">Handle missing or NA values in the dataset </t>
  </si>
  <si>
    <t>Create Definition, Compare and Analyze</t>
  </si>
  <si>
    <t>Create New Risk Score(Two States)</t>
  </si>
  <si>
    <t>Change Necessary Choices</t>
  </si>
  <si>
    <t>Compare NRI and Proposed Definition</t>
  </si>
  <si>
    <t>Execute Sensitivity Analysis</t>
  </si>
  <si>
    <t>Coding / Creating Figures</t>
  </si>
  <si>
    <t>Create Two Summary Tables to Compare</t>
  </si>
  <si>
    <t>Generate one Map Using Geopandas</t>
  </si>
  <si>
    <t>Clean Code</t>
  </si>
  <si>
    <t>Add comments in Code</t>
  </si>
  <si>
    <t>Make Code Readable for Client</t>
  </si>
  <si>
    <t>Documentation and Reporting</t>
  </si>
  <si>
    <t>Annotated Code Document</t>
  </si>
  <si>
    <t>Scope of Work</t>
  </si>
  <si>
    <t>Time Sheet</t>
  </si>
  <si>
    <t>Written Document</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</si>
  <si>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</si>
  <si>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</si>
  <si>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</si>
  <si>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</si>
  <si>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</si>
  <si>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</si>
  <si>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</si>
  <si>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</si>
  <si>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</si>
  <si>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</si>
  <si>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</si>
  <si>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</si>
  <si>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</si>
  <si>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</si>
  <si>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Download SVI and Census Tract datasets</t>
  </si>
  <si>
    <t>Mehgan Paulino-Alejandro</t>
  </si>
  <si>
    <t>Rashid Hamid</t>
  </si>
  <si>
    <t>Noah Morland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</si>
</sst>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11</xdr:col>
      <xdr:colOff>152400</xdr:colOff>
      <xdr:row>14</xdr:row>
      <xdr:rowOff>76200</xdr:rowOff>
    </xdr:from>
    <xdr:to>
      <xdr:col>13</xdr:col>
      <xdr:colOff>142875</xdr:colOff>
      <xdr:row>18</xdr:row>
      <xdr:rowOff>171450</xdr:rowOff>
    </xdr:to>
    <xdr:sp macro="" textlink="">
      <xdr:nvSpPr>
        <xdr:cNvPr id="2" name="Left Brace 1">
          <a:extLst>
            <a:ext uri="{FF2B5EF4-FFF2-40B4-BE49-F238E27FC236}">
              <a16:creationId xmlns:a16="http://schemas.microsoft.com/office/drawing/2014/main" id="{6AD6CB06-5B06-073D-2F8A-2D0E4E2113D8}"/>
            </a:ext>
          </a:extLst>
        </xdr:cNvPr>
        <xdr:cNvSpPr/>
      </xdr:nvSpPr>
      <xdr:spPr>
        <a:xfrm>
          <a:off x="8829675" y="5410200"/>
          <a:ext cx="409575" cy="1619250"/>
        </a:xfrm>
        <a:prstGeom prst="leftBrace">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9</xdr:col>
      <xdr:colOff>114300</xdr:colOff>
      <xdr:row>26</xdr:row>
      <xdr:rowOff>104775</xdr:rowOff>
    </xdr:from>
    <xdr:to>
      <xdr:col>11</xdr:col>
      <xdr:colOff>104775</xdr:colOff>
      <xdr:row>30</xdr:row>
      <xdr:rowOff>200025</xdr:rowOff>
    </xdr:to>
    <xdr:sp macro="" textlink="">
      <xdr:nvSpPr>
        <xdr:cNvPr id="6" name="Left Brace 5">
          <a:extLst>
            <a:ext uri="{FF2B5EF4-FFF2-40B4-BE49-F238E27FC236}">
              <a16:creationId xmlns:a16="http://schemas.microsoft.com/office/drawing/2014/main" id="{AFFFE6B5-1535-4E43-A6FC-3258F5E4D6DD}"/>
            </a:ext>
            <a:ext uri="{147F2762-F138-4A5C-976F-8EAC2B608ADB}">
              <a16:predDERef xmlns:a16="http://schemas.microsoft.com/office/drawing/2014/main" pred="{F122C146-0845-642F-ACBE-7268A244396A}"/>
            </a:ext>
          </a:extLst>
        </xdr:cNvPr>
        <xdr:cNvSpPr/>
      </xdr:nvSpPr>
      <xdr:spPr>
        <a:xfrm>
          <a:off x="8372475" y="10010775"/>
          <a:ext cx="409575" cy="1619250"/>
        </a:xfrm>
        <a:prstGeom prst="leftBrace">
          <a:avLst/>
        </a:prstGeom>
        <a:ln w="28575"/>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9</xdr:col>
      <xdr:colOff>66675</xdr:colOff>
      <xdr:row>8</xdr:row>
      <xdr:rowOff>104775</xdr:rowOff>
    </xdr:from>
    <xdr:to>
      <xdr:col>11</xdr:col>
      <xdr:colOff>57150</xdr:colOff>
      <xdr:row>12</xdr:row>
      <xdr:rowOff>200025</xdr:rowOff>
    </xdr:to>
    <xdr:sp macro="" textlink="">
      <xdr:nvSpPr>
        <xdr:cNvPr id="8" name="Left Brace 7">
          <a:extLst>
            <a:ext uri="{FF2B5EF4-FFF2-40B4-BE49-F238E27FC236}">
              <a16:creationId xmlns:a16="http://schemas.microsoft.com/office/drawing/2014/main" id="{B93CA89B-A2D4-487D-BAA3-E81F1C5C921E}"/>
            </a:ext>
            <a:ext uri="{147F2762-F138-4A5C-976F-8EAC2B608ADB}">
              <a16:predDERef xmlns:a16="http://schemas.microsoft.com/office/drawing/2014/main" pred="{9764BA21-B0CB-8929-72D9-1564501E72A8}"/>
            </a:ext>
          </a:extLst>
        </xdr:cNvPr>
        <xdr:cNvSpPr/>
      </xdr:nvSpPr>
      <xdr:spPr>
        <a:xfrm>
          <a:off x="8324850" y="3152775"/>
          <a:ext cx="409575" cy="1619250"/>
        </a:xfrm>
        <a:prstGeom prst="leftBrace">
          <a:avLst/>
        </a:prstGeom>
        <a:ln w="28575"/>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9</xdr:col>
      <xdr:colOff>66674</xdr:colOff>
      <xdr:row>10</xdr:row>
      <xdr:rowOff>152399</xdr:rowOff>
    </xdr:from>
    <xdr:to>
      <xdr:col>11</xdr:col>
      <xdr:colOff>152399</xdr:colOff>
      <xdr:row>16</xdr:row>
      <xdr:rowOff>123824</xdr:rowOff>
    </xdr:to>
    <xdr:cxnSp macro="">
      <xdr:nvCxnSpPr>
        <xdr:cNvPr id="16" name="Elbow Connector 15">
          <a:extLst>
            <a:ext uri="{FF2B5EF4-FFF2-40B4-BE49-F238E27FC236}">
              <a16:creationId xmlns:a16="http://schemas.microsoft.com/office/drawing/2014/main" id="{F5A0FED9-371C-0668-C93A-F634D615EE53}"/>
            </a:ext>
            <a:ext uri="{147F2762-F138-4A5C-976F-8EAC2B608ADB}">
              <a16:predDERef xmlns:a16="http://schemas.microsoft.com/office/drawing/2014/main" pred="{AE5224BD-C4DE-46B0-BE2F-5DE38618FAC4}"/>
            </a:ext>
          </a:extLst>
        </xdr:cNvPr>
        <xdr:cNvCxnSpPr>
          <a:cxnSpLocks/>
          <a:stCxn id="8" idx="1"/>
          <a:endCxn id="2" idx="1"/>
          <a:extLst>
            <a:ext uri="{5F17804C-33F3-41E3-A699-7DCFA2EF7971}">
              <a16:cxnDERefs xmlns:a16="http://schemas.microsoft.com/office/drawing/2014/main" st="{B93CA89B-A2D4-487D-BAA3-E81F1C5C921E}" end="{6AD6CB06-5B06-073D-2F8A-2D0E4E2113D8}"/>
            </a:ext>
          </a:extLst>
        </xdr:cNvCxnSpPr>
      </xdr:nvCxnSpPr>
      <xdr:spPr>
        <a:xfrm rot="10800000" flipH="1" flipV="1">
          <a:off x="8324849" y="3962399"/>
          <a:ext cx="504825" cy="2257425"/>
        </a:xfrm>
        <a:prstGeom prst="bentConnector3">
          <a:avLst>
            <a:gd name="adj1" fmla="val -4528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85724</xdr:colOff>
      <xdr:row>16</xdr:row>
      <xdr:rowOff>123824</xdr:rowOff>
    </xdr:from>
    <xdr:to>
      <xdr:col>9</xdr:col>
      <xdr:colOff>114300</xdr:colOff>
      <xdr:row>28</xdr:row>
      <xdr:rowOff>152400</xdr:rowOff>
    </xdr:to>
    <xdr:cxnSp macro="">
      <xdr:nvCxnSpPr>
        <xdr:cNvPr id="17" name="Elbow Connector 16">
          <a:extLst>
            <a:ext uri="{FF2B5EF4-FFF2-40B4-BE49-F238E27FC236}">
              <a16:creationId xmlns:a16="http://schemas.microsoft.com/office/drawing/2014/main" id="{BDE9C9D7-D981-39F7-96D9-BEFFE96C9221}"/>
            </a:ext>
            <a:ext uri="{147F2762-F138-4A5C-976F-8EAC2B608ADB}">
              <a16:predDERef xmlns:a16="http://schemas.microsoft.com/office/drawing/2014/main" pred="{F5A0FED9-371C-0668-C93A-F634D615EE53}"/>
            </a:ext>
          </a:extLst>
        </xdr:cNvPr>
        <xdr:cNvCxnSpPr>
          <a:cxnSpLocks/>
          <a:endCxn id="6" idx="1"/>
          <a:extLst>
            <a:ext uri="{5F17804C-33F3-41E3-A699-7DCFA2EF7971}">
              <a16:cxnDERefs xmlns:a16="http://schemas.microsoft.com/office/drawing/2014/main" st="{00000000-0000-0000-0000-000000000000}" end="{AFFFE6B5-1535-4E43-A6FC-3258F5E4D6DD}"/>
            </a:ext>
          </a:extLst>
        </xdr:cNvCxnSpPr>
      </xdr:nvCxnSpPr>
      <xdr:spPr>
        <a:xfrm rot="16200000" flipH="1">
          <a:off x="5953124" y="8401049"/>
          <a:ext cx="4600576" cy="23812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9" zoomScaleNormal="100" zoomScalePageLayoutView="70" workbookViewId="0">
      <selection activeCell="D10" sqref="D10"/>
    </sheetView>
  </sheetViews>
  <sheetFormatPr defaultColWidth="8.69921875" defaultRowHeight="30" customHeight="1" x14ac:dyDescent="0.25"/>
  <cols>
    <col min="1" max="1" width="2.69921875" style="13" customWidth="1"/>
    <col min="2" max="2" width="51.09765625" bestFit="1"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7" t="s">
        <v>0</v>
      </c>
      <c r="C1" s="18"/>
      <c r="D1" s="19"/>
      <c r="E1" s="20"/>
      <c r="F1" s="21"/>
      <c r="H1" s="1"/>
      <c r="I1" s="114" t="s">
        <v>1</v>
      </c>
      <c r="J1" s="115"/>
      <c r="K1" s="115"/>
      <c r="L1" s="115"/>
      <c r="M1" s="115"/>
      <c r="N1" s="115"/>
      <c r="O1" s="115"/>
      <c r="P1" s="24"/>
      <c r="Q1" s="113">
        <v>46115</v>
      </c>
      <c r="R1" s="112"/>
      <c r="S1" s="112"/>
      <c r="T1" s="112"/>
      <c r="U1" s="112"/>
      <c r="V1" s="112"/>
      <c r="W1" s="112"/>
      <c r="X1" s="112"/>
      <c r="Y1" s="112"/>
      <c r="Z1" s="112"/>
    </row>
    <row r="2" spans="1:64" ht="30" customHeight="1" x14ac:dyDescent="0.6">
      <c r="B2" s="95"/>
      <c r="C2" s="96"/>
      <c r="D2" s="22"/>
      <c r="E2" s="23"/>
      <c r="F2" s="22"/>
      <c r="I2" s="114" t="s">
        <v>2</v>
      </c>
      <c r="J2" s="115"/>
      <c r="K2" s="115"/>
      <c r="L2" s="115"/>
      <c r="M2" s="115"/>
      <c r="N2" s="115"/>
      <c r="O2" s="115"/>
      <c r="P2" s="24"/>
      <c r="Q2" s="111">
        <v>1</v>
      </c>
      <c r="R2" s="112"/>
      <c r="S2" s="112"/>
      <c r="T2" s="112"/>
      <c r="U2" s="112"/>
      <c r="V2" s="112"/>
      <c r="W2" s="112"/>
      <c r="X2" s="112"/>
      <c r="Y2" s="112"/>
      <c r="Z2" s="112"/>
    </row>
    <row r="3" spans="1:64" s="26" customFormat="1" ht="30" customHeight="1" x14ac:dyDescent="0.25">
      <c r="A3" s="13"/>
      <c r="B3" s="25" t="s">
        <v>3</v>
      </c>
      <c r="D3" s="27"/>
      <c r="E3" s="28"/>
    </row>
    <row r="4" spans="1:64" s="26" customFormat="1" ht="30" customHeight="1" x14ac:dyDescent="0.25">
      <c r="A4" s="14"/>
      <c r="B4" s="29" t="s">
        <v>4</v>
      </c>
      <c r="E4" s="30"/>
      <c r="I4" s="118">
        <f>I5</f>
        <v>46111</v>
      </c>
      <c r="J4" s="116"/>
      <c r="K4" s="116"/>
      <c r="L4" s="116"/>
      <c r="M4" s="116"/>
      <c r="N4" s="116"/>
      <c r="O4" s="116"/>
      <c r="P4" s="116">
        <f>P5</f>
        <v>46118</v>
      </c>
      <c r="Q4" s="116"/>
      <c r="R4" s="116"/>
      <c r="S4" s="116"/>
      <c r="T4" s="116"/>
      <c r="U4" s="116"/>
      <c r="V4" s="116"/>
      <c r="W4" s="116">
        <f>W5</f>
        <v>46125</v>
      </c>
      <c r="X4" s="116"/>
      <c r="Y4" s="116"/>
      <c r="Z4" s="116"/>
      <c r="AA4" s="116"/>
      <c r="AB4" s="116"/>
      <c r="AC4" s="116"/>
      <c r="AD4" s="116">
        <f>AD5</f>
        <v>46132</v>
      </c>
      <c r="AE4" s="116"/>
      <c r="AF4" s="116"/>
      <c r="AG4" s="116"/>
      <c r="AH4" s="116"/>
      <c r="AI4" s="116"/>
      <c r="AJ4" s="116"/>
      <c r="AK4" s="116">
        <f>AK5</f>
        <v>46139</v>
      </c>
      <c r="AL4" s="116"/>
      <c r="AM4" s="116"/>
      <c r="AN4" s="116"/>
      <c r="AO4" s="116"/>
      <c r="AP4" s="116"/>
      <c r="AQ4" s="116"/>
      <c r="AR4" s="116">
        <f>AR5</f>
        <v>46146</v>
      </c>
      <c r="AS4" s="116"/>
      <c r="AT4" s="116"/>
      <c r="AU4" s="116"/>
      <c r="AV4" s="116"/>
      <c r="AW4" s="116"/>
      <c r="AX4" s="116"/>
      <c r="AY4" s="116">
        <f>AY5</f>
        <v>46153</v>
      </c>
      <c r="AZ4" s="116"/>
      <c r="BA4" s="116"/>
      <c r="BB4" s="116"/>
      <c r="BC4" s="116"/>
      <c r="BD4" s="116"/>
      <c r="BE4" s="116"/>
      <c r="BF4" s="116">
        <f>BF5</f>
        <v>46160</v>
      </c>
      <c r="BG4" s="116"/>
      <c r="BH4" s="116"/>
      <c r="BI4" s="116"/>
      <c r="BJ4" s="116"/>
      <c r="BK4" s="116"/>
      <c r="BL4" s="117"/>
    </row>
    <row r="5" spans="1:64" s="26" customFormat="1" ht="15" customHeight="1" x14ac:dyDescent="0.25">
      <c r="A5" s="105"/>
      <c r="B5" s="106" t="s">
        <v>5</v>
      </c>
      <c r="C5" s="108" t="s">
        <v>6</v>
      </c>
      <c r="D5" s="110" t="s">
        <v>7</v>
      </c>
      <c r="E5" s="110" t="s">
        <v>8</v>
      </c>
      <c r="F5" s="110" t="s">
        <v>9</v>
      </c>
      <c r="I5" s="31">
        <f>Project_Start-WEEKDAY(Project_Start,1)+2+7*(Display_Week-1)</f>
        <v>46111</v>
      </c>
      <c r="J5" s="31">
        <f>I5+1</f>
        <v>46112</v>
      </c>
      <c r="K5" s="31">
        <f t="shared" ref="K5:AX5" si="0">J5+1</f>
        <v>46113</v>
      </c>
      <c r="L5" s="31">
        <f t="shared" si="0"/>
        <v>46114</v>
      </c>
      <c r="M5" s="31">
        <f t="shared" si="0"/>
        <v>46115</v>
      </c>
      <c r="N5" s="31">
        <f t="shared" si="0"/>
        <v>46116</v>
      </c>
      <c r="O5" s="32">
        <f t="shared" si="0"/>
        <v>46117</v>
      </c>
      <c r="P5" s="33">
        <f>O5+1</f>
        <v>46118</v>
      </c>
      <c r="Q5" s="31">
        <f>P5+1</f>
        <v>46119</v>
      </c>
      <c r="R5" s="31">
        <f t="shared" si="0"/>
        <v>46120</v>
      </c>
      <c r="S5" s="31">
        <f t="shared" si="0"/>
        <v>46121</v>
      </c>
      <c r="T5" s="31">
        <f t="shared" si="0"/>
        <v>46122</v>
      </c>
      <c r="U5" s="31">
        <f t="shared" si="0"/>
        <v>46123</v>
      </c>
      <c r="V5" s="32">
        <f t="shared" si="0"/>
        <v>46124</v>
      </c>
      <c r="W5" s="33">
        <f>V5+1</f>
        <v>46125</v>
      </c>
      <c r="X5" s="31">
        <f>W5+1</f>
        <v>46126</v>
      </c>
      <c r="Y5" s="31">
        <f t="shared" si="0"/>
        <v>46127</v>
      </c>
      <c r="Z5" s="31">
        <f t="shared" si="0"/>
        <v>46128</v>
      </c>
      <c r="AA5" s="31">
        <f t="shared" si="0"/>
        <v>46129</v>
      </c>
      <c r="AB5" s="31">
        <f t="shared" si="0"/>
        <v>46130</v>
      </c>
      <c r="AC5" s="32">
        <f t="shared" si="0"/>
        <v>46131</v>
      </c>
      <c r="AD5" s="33">
        <f>AC5+1</f>
        <v>46132</v>
      </c>
      <c r="AE5" s="31">
        <f>AD5+1</f>
        <v>46133</v>
      </c>
      <c r="AF5" s="31">
        <f t="shared" si="0"/>
        <v>46134</v>
      </c>
      <c r="AG5" s="31">
        <f t="shared" si="0"/>
        <v>46135</v>
      </c>
      <c r="AH5" s="31">
        <f t="shared" si="0"/>
        <v>46136</v>
      </c>
      <c r="AI5" s="31">
        <f t="shared" si="0"/>
        <v>46137</v>
      </c>
      <c r="AJ5" s="32">
        <f t="shared" si="0"/>
        <v>46138</v>
      </c>
      <c r="AK5" s="33">
        <f>AJ5+1</f>
        <v>46139</v>
      </c>
      <c r="AL5" s="31">
        <f>AK5+1</f>
        <v>46140</v>
      </c>
      <c r="AM5" s="31">
        <f t="shared" si="0"/>
        <v>46141</v>
      </c>
      <c r="AN5" s="31">
        <f t="shared" si="0"/>
        <v>46142</v>
      </c>
      <c r="AO5" s="31">
        <f t="shared" si="0"/>
        <v>46143</v>
      </c>
      <c r="AP5" s="31">
        <f t="shared" si="0"/>
        <v>46144</v>
      </c>
      <c r="AQ5" s="32">
        <f t="shared" si="0"/>
        <v>46145</v>
      </c>
      <c r="AR5" s="33">
        <f>AQ5+1</f>
        <v>46146</v>
      </c>
      <c r="AS5" s="31">
        <f>AR5+1</f>
        <v>46147</v>
      </c>
      <c r="AT5" s="31">
        <f t="shared" si="0"/>
        <v>46148</v>
      </c>
      <c r="AU5" s="31">
        <f t="shared" si="0"/>
        <v>46149</v>
      </c>
      <c r="AV5" s="31">
        <f t="shared" si="0"/>
        <v>46150</v>
      </c>
      <c r="AW5" s="31">
        <f t="shared" si="0"/>
        <v>46151</v>
      </c>
      <c r="AX5" s="32">
        <f t="shared" si="0"/>
        <v>46152</v>
      </c>
      <c r="AY5" s="33">
        <f>AX5+1</f>
        <v>46153</v>
      </c>
      <c r="AZ5" s="31">
        <f>AY5+1</f>
        <v>46154</v>
      </c>
      <c r="BA5" s="31">
        <f t="shared" ref="BA5:BE5" si="1">AZ5+1</f>
        <v>46155</v>
      </c>
      <c r="BB5" s="31">
        <f t="shared" si="1"/>
        <v>46156</v>
      </c>
      <c r="BC5" s="31">
        <f t="shared" si="1"/>
        <v>46157</v>
      </c>
      <c r="BD5" s="31">
        <f t="shared" si="1"/>
        <v>46158</v>
      </c>
      <c r="BE5" s="32">
        <f t="shared" si="1"/>
        <v>46159</v>
      </c>
      <c r="BF5" s="33">
        <f>BE5+1</f>
        <v>46160</v>
      </c>
      <c r="BG5" s="31">
        <f>BF5+1</f>
        <v>46161</v>
      </c>
      <c r="BH5" s="31">
        <f t="shared" ref="BH5:BL5" si="2">BG5+1</f>
        <v>46162</v>
      </c>
      <c r="BI5" s="31">
        <f t="shared" si="2"/>
        <v>46163</v>
      </c>
      <c r="BJ5" s="31">
        <f t="shared" si="2"/>
        <v>46164</v>
      </c>
      <c r="BK5" s="31">
        <f t="shared" si="2"/>
        <v>46165</v>
      </c>
      <c r="BL5" s="31">
        <f t="shared" si="2"/>
        <v>46166</v>
      </c>
    </row>
    <row r="6" spans="1:64" s="26" customFormat="1" ht="15" customHeight="1" thickBot="1" x14ac:dyDescent="0.3">
      <c r="A6" s="105"/>
      <c r="B6" s="107"/>
      <c r="C6" s="109"/>
      <c r="D6" s="109"/>
      <c r="E6" s="109"/>
      <c r="F6" s="109"/>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
      <c r="A7" s="13" t="s">
        <v>10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11</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12</v>
      </c>
      <c r="C9" s="52" t="s">
        <v>13</v>
      </c>
      <c r="D9" s="48">
        <v>1</v>
      </c>
      <c r="E9" s="49">
        <f>Project_Start</f>
        <v>46115</v>
      </c>
      <c r="F9" s="49">
        <f>E9+2</f>
        <v>46117</v>
      </c>
      <c r="G9" s="17"/>
      <c r="H9" s="5">
        <f t="shared" si="5"/>
        <v>3</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6" customFormat="1" ht="30" customHeight="1" thickBot="1" x14ac:dyDescent="0.3">
      <c r="A10" s="14"/>
      <c r="B10" s="51" t="s">
        <v>47</v>
      </c>
      <c r="C10" s="52" t="s">
        <v>50</v>
      </c>
      <c r="D10" s="53">
        <v>1</v>
      </c>
      <c r="E10" s="49">
        <f>Project_Start</f>
        <v>46115</v>
      </c>
      <c r="F10" s="54">
        <f>E10+2</f>
        <v>46117</v>
      </c>
      <c r="G10" s="17"/>
      <c r="H10" s="5">
        <f t="shared"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6" customFormat="1" ht="30" customHeight="1" thickBot="1" x14ac:dyDescent="0.3">
      <c r="A11" s="13"/>
      <c r="B11" s="51" t="s">
        <v>14</v>
      </c>
      <c r="C11" s="52" t="s">
        <v>49</v>
      </c>
      <c r="D11" s="53">
        <v>1</v>
      </c>
      <c r="E11" s="49">
        <f>Project_Start</f>
        <v>46115</v>
      </c>
      <c r="F11" s="54">
        <f>E11+2</f>
        <v>46117</v>
      </c>
      <c r="G11" s="17"/>
      <c r="H11" s="5">
        <f t="shared" si="5"/>
        <v>3</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6" customFormat="1" ht="30" customHeight="1" thickBot="1" x14ac:dyDescent="0.3">
      <c r="A12" s="13"/>
      <c r="B12" s="51" t="s">
        <v>15</v>
      </c>
      <c r="C12" s="52" t="s">
        <v>48</v>
      </c>
      <c r="D12" s="53">
        <v>1</v>
      </c>
      <c r="E12" s="49">
        <f>Project_Start</f>
        <v>46115</v>
      </c>
      <c r="F12" s="54">
        <f>E12+2</f>
        <v>46117</v>
      </c>
      <c r="G12" s="17"/>
      <c r="H12" s="5">
        <f t="shared" si="5"/>
        <v>3</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6" customFormat="1" ht="30" customHeight="1" thickBot="1" x14ac:dyDescent="0.3">
      <c r="A13" s="13"/>
      <c r="B13" s="51" t="s">
        <v>16</v>
      </c>
      <c r="C13" s="52" t="s">
        <v>50</v>
      </c>
      <c r="D13" s="53">
        <v>1</v>
      </c>
      <c r="E13" s="54">
        <f>F12</f>
        <v>46117</v>
      </c>
      <c r="F13" s="54">
        <f>E13+5</f>
        <v>46122</v>
      </c>
      <c r="G13" s="17"/>
      <c r="H13" s="5">
        <f t="shared" si="5"/>
        <v>6</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6" customFormat="1" ht="30" customHeight="1" thickBot="1" x14ac:dyDescent="0.3">
      <c r="A14" s="14"/>
      <c r="B14" s="56" t="s">
        <v>17</v>
      </c>
      <c r="C14" s="57"/>
      <c r="D14" s="58"/>
      <c r="E14" s="59"/>
      <c r="F14" s="60"/>
      <c r="G14" s="17"/>
      <c r="H14" s="5" t="str">
        <f t="shared" si="5"/>
        <v/>
      </c>
    </row>
    <row r="15" spans="1:64" s="46" customFormat="1" ht="30" customHeight="1" thickBot="1" x14ac:dyDescent="0.3">
      <c r="A15" s="14"/>
      <c r="B15" s="61" t="s">
        <v>18</v>
      </c>
      <c r="C15" s="62" t="s">
        <v>49</v>
      </c>
      <c r="D15" s="63">
        <v>1</v>
      </c>
      <c r="E15" s="64">
        <f>E13+1</f>
        <v>46118</v>
      </c>
      <c r="F15" s="64">
        <f>E15+4</f>
        <v>46122</v>
      </c>
      <c r="G15" s="17"/>
      <c r="H15" s="5">
        <f t="shared"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6" customFormat="1" ht="30" customHeight="1" thickBot="1" x14ac:dyDescent="0.3">
      <c r="A16" s="13"/>
      <c r="B16" s="61" t="s">
        <v>19</v>
      </c>
      <c r="C16" s="62" t="s">
        <v>50</v>
      </c>
      <c r="D16" s="63">
        <v>1</v>
      </c>
      <c r="E16" s="64">
        <f>E15+2</f>
        <v>46120</v>
      </c>
      <c r="F16" s="64">
        <f>E16+7</f>
        <v>46127</v>
      </c>
      <c r="G16" s="17"/>
      <c r="H16" s="5">
        <f t="shared" si="5"/>
        <v>8</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6" customFormat="1" ht="30" customHeight="1" thickBot="1" x14ac:dyDescent="0.3">
      <c r="A17" s="13"/>
      <c r="B17" s="61" t="s">
        <v>20</v>
      </c>
      <c r="C17" s="62" t="s">
        <v>48</v>
      </c>
      <c r="D17" s="63">
        <v>1</v>
      </c>
      <c r="E17" s="64">
        <f>F16+3</f>
        <v>46130</v>
      </c>
      <c r="F17" s="64">
        <f>E17+2</f>
        <v>46132</v>
      </c>
      <c r="G17" s="17"/>
      <c r="H17" s="5">
        <f t="shared" si="5"/>
        <v>3</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6" customFormat="1" ht="30" customHeight="1" thickBot="1" x14ac:dyDescent="0.3">
      <c r="A18" s="13"/>
      <c r="B18" s="61" t="s">
        <v>21</v>
      </c>
      <c r="C18" s="62" t="s">
        <v>49</v>
      </c>
      <c r="D18" s="63">
        <v>1</v>
      </c>
      <c r="E18" s="64">
        <f>E17</f>
        <v>46130</v>
      </c>
      <c r="F18" s="64">
        <f>E18+2</f>
        <v>46132</v>
      </c>
      <c r="G18" s="17"/>
      <c r="H18" s="5">
        <f t="shared" si="5"/>
        <v>3</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6" customFormat="1" ht="30" customHeight="1" thickBot="1" x14ac:dyDescent="0.3">
      <c r="A19" s="13"/>
      <c r="B19" s="61"/>
      <c r="C19" s="62"/>
      <c r="D19" s="63"/>
      <c r="E19" s="64">
        <f>E18</f>
        <v>46130</v>
      </c>
      <c r="F19" s="64">
        <f>E19+3</f>
        <v>46133</v>
      </c>
      <c r="G19" s="17"/>
      <c r="H19" s="5">
        <f t="shared"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6" customFormat="1" ht="30" customHeight="1" thickBot="1" x14ac:dyDescent="0.3">
      <c r="A20" s="13"/>
      <c r="B20" s="65" t="s">
        <v>22</v>
      </c>
      <c r="C20" s="66"/>
      <c r="D20" s="67"/>
      <c r="E20" s="68"/>
      <c r="F20" s="69"/>
      <c r="G20" s="17"/>
      <c r="H20" s="5" t="str">
        <f t="shared"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6" customFormat="1" ht="30" customHeight="1" thickBot="1" x14ac:dyDescent="0.3">
      <c r="A21" s="13"/>
      <c r="B21" s="71" t="s">
        <v>23</v>
      </c>
      <c r="C21" s="72" t="s">
        <v>49</v>
      </c>
      <c r="D21" s="73">
        <v>1</v>
      </c>
      <c r="E21" s="74">
        <f>E9+15</f>
        <v>46130</v>
      </c>
      <c r="F21" s="74">
        <f>E21+2</f>
        <v>46132</v>
      </c>
      <c r="G21" s="17"/>
      <c r="H21" s="5">
        <f t="shared" si="5"/>
        <v>3</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6" customFormat="1" ht="30" customHeight="1" thickBot="1" x14ac:dyDescent="0.3">
      <c r="A22" s="13"/>
      <c r="B22" s="71" t="s">
        <v>24</v>
      </c>
      <c r="C22" s="72" t="s">
        <v>48</v>
      </c>
      <c r="D22" s="73">
        <v>1</v>
      </c>
      <c r="E22" s="74">
        <f>E21</f>
        <v>46130</v>
      </c>
      <c r="F22" s="74">
        <f>E22+3</f>
        <v>46133</v>
      </c>
      <c r="G22" s="17"/>
      <c r="H22" s="5">
        <f t="shared" si="5"/>
        <v>4</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6" customFormat="1" ht="30" customHeight="1" thickBot="1" x14ac:dyDescent="0.3">
      <c r="A23" s="13"/>
      <c r="B23" s="71" t="s">
        <v>25</v>
      </c>
      <c r="C23" s="72" t="s">
        <v>49</v>
      </c>
      <c r="D23" s="73">
        <v>1</v>
      </c>
      <c r="E23" s="74">
        <f>E22+2</f>
        <v>46132</v>
      </c>
      <c r="F23" s="74">
        <f>E23+1</f>
        <v>46133</v>
      </c>
      <c r="G23" s="17"/>
      <c r="H23" s="5">
        <f t="shared" si="5"/>
        <v>2</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6" customFormat="1" ht="30" customHeight="1" thickBot="1" x14ac:dyDescent="0.3">
      <c r="A24" s="13"/>
      <c r="B24" s="71" t="s">
        <v>26</v>
      </c>
      <c r="C24" s="72" t="s">
        <v>50</v>
      </c>
      <c r="D24" s="73">
        <v>1</v>
      </c>
      <c r="E24" s="74">
        <f>E9</f>
        <v>46115</v>
      </c>
      <c r="F24" s="74">
        <f>E24+18</f>
        <v>46133</v>
      </c>
      <c r="G24" s="17"/>
      <c r="H24" s="5">
        <f t="shared" si="5"/>
        <v>19</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6" customFormat="1" ht="30" customHeight="1" thickBot="1" x14ac:dyDescent="0.3">
      <c r="A25" s="13"/>
      <c r="B25" s="71" t="s">
        <v>27</v>
      </c>
      <c r="C25" s="72" t="s">
        <v>50</v>
      </c>
      <c r="D25" s="73">
        <v>1</v>
      </c>
      <c r="E25" s="74">
        <f>E21</f>
        <v>46130</v>
      </c>
      <c r="F25" s="74">
        <f>E25+3</f>
        <v>46133</v>
      </c>
      <c r="G25" s="17"/>
      <c r="H25" s="5">
        <f t="shared" si="5"/>
        <v>4</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6" customFormat="1" ht="30" customHeight="1" thickBot="1" x14ac:dyDescent="0.3">
      <c r="A26" s="13"/>
      <c r="B26" s="75" t="s">
        <v>28</v>
      </c>
      <c r="C26" s="76"/>
      <c r="D26" s="77"/>
      <c r="E26" s="78"/>
      <c r="F26" s="79"/>
      <c r="G26" s="17"/>
      <c r="H26" s="5" t="str">
        <f t="shared"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6" customFormat="1" ht="30" customHeight="1" thickBot="1" x14ac:dyDescent="0.3">
      <c r="A27" s="13"/>
      <c r="B27" s="81" t="s">
        <v>29</v>
      </c>
      <c r="C27" s="82" t="s">
        <v>48</v>
      </c>
      <c r="D27" s="83">
        <v>1</v>
      </c>
      <c r="E27" s="84">
        <f>E21+2</f>
        <v>46132</v>
      </c>
      <c r="F27" s="84">
        <f>E27+2</f>
        <v>46134</v>
      </c>
      <c r="G27" s="17"/>
      <c r="H27" s="5">
        <f t="shared" si="5"/>
        <v>3</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6" customFormat="1" ht="30" customHeight="1" thickBot="1" x14ac:dyDescent="0.3">
      <c r="A28" s="13"/>
      <c r="B28" s="81" t="s">
        <v>30</v>
      </c>
      <c r="C28" s="82" t="s">
        <v>49</v>
      </c>
      <c r="D28" s="83">
        <v>1</v>
      </c>
      <c r="E28" s="84">
        <f>E16</f>
        <v>46120</v>
      </c>
      <c r="F28" s="84">
        <f>E28</f>
        <v>46120</v>
      </c>
      <c r="G28" s="17"/>
      <c r="H28" s="5">
        <f t="shared" si="5"/>
        <v>1</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6" customFormat="1" ht="30" customHeight="1" thickBot="1" x14ac:dyDescent="0.3">
      <c r="A29" s="13"/>
      <c r="B29" s="81" t="s">
        <v>31</v>
      </c>
      <c r="C29" s="82" t="s">
        <v>13</v>
      </c>
      <c r="D29" s="83">
        <v>1</v>
      </c>
      <c r="E29" s="84">
        <f>E9</f>
        <v>46115</v>
      </c>
      <c r="F29" s="84">
        <f>E29+3</f>
        <v>46118</v>
      </c>
      <c r="G29" s="17"/>
      <c r="H29" s="5">
        <f t="shared"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6" customFormat="1" ht="30" customHeight="1" thickBot="1" x14ac:dyDescent="0.3">
      <c r="A30" s="13"/>
      <c r="B30" s="81" t="s">
        <v>32</v>
      </c>
      <c r="C30" s="82" t="s">
        <v>50</v>
      </c>
      <c r="D30" s="83">
        <v>1</v>
      </c>
      <c r="E30" s="84">
        <f>E21</f>
        <v>46130</v>
      </c>
      <c r="F30" s="84">
        <f>E30+3</f>
        <v>46133</v>
      </c>
      <c r="G30" s="17"/>
      <c r="H30" s="5">
        <f t="shared"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6" customFormat="1" ht="30" customHeight="1" thickBot="1" x14ac:dyDescent="0.3">
      <c r="A31" s="13"/>
      <c r="B31" s="81"/>
      <c r="C31" s="82"/>
      <c r="D31" s="83"/>
      <c r="E31" s="84"/>
      <c r="F31" s="84"/>
      <c r="G31" s="17"/>
      <c r="H31" s="5" t="str">
        <f t="shared" si="5"/>
        <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6" customFormat="1" ht="30" customHeight="1" thickBot="1" x14ac:dyDescent="0.3">
      <c r="A32" s="13"/>
      <c r="B32" s="85"/>
      <c r="C32" s="86"/>
      <c r="D32" s="87"/>
      <c r="E32" s="88"/>
      <c r="F32" s="88"/>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
      <c r="A33" s="14"/>
      <c r="B33" s="89" t="s">
        <v>33</v>
      </c>
      <c r="C33" s="90"/>
      <c r="D33" s="91"/>
      <c r="E33" s="92"/>
      <c r="F33" s="93"/>
      <c r="G33" s="17"/>
      <c r="H33" s="6" t="str">
        <f t="shared"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x14ac:dyDescent="0.25">
      <c r="G34" s="3"/>
    </row>
    <row r="35" spans="1:64" ht="30" customHeight="1" x14ac:dyDescent="0.25">
      <c r="C35" s="16"/>
      <c r="F35" s="15"/>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8" t="s">
        <v>3</v>
      </c>
      <c r="B2" s="8"/>
    </row>
    <row r="3" spans="1:2" s="11" customFormat="1" ht="27" customHeight="1" x14ac:dyDescent="0.25">
      <c r="A3" s="99"/>
      <c r="B3" s="12"/>
    </row>
    <row r="4" spans="1:2" s="10" customFormat="1" ht="30" x14ac:dyDescent="0.7">
      <c r="A4" s="100" t="s">
        <v>34</v>
      </c>
    </row>
    <row r="5" spans="1:2" ht="74.25" customHeight="1" x14ac:dyDescent="0.25">
      <c r="A5" s="101" t="s">
        <v>35</v>
      </c>
    </row>
    <row r="6" spans="1:2" ht="26.25" customHeight="1" x14ac:dyDescent="0.25">
      <c r="A6" s="100" t="s">
        <v>36</v>
      </c>
    </row>
    <row r="7" spans="1:2" s="7" customFormat="1" ht="205.2" customHeight="1" x14ac:dyDescent="0.25">
      <c r="A7" s="102" t="s">
        <v>37</v>
      </c>
    </row>
    <row r="8" spans="1:2" s="10" customFormat="1" ht="30" x14ac:dyDescent="0.7">
      <c r="A8" s="100" t="s">
        <v>38</v>
      </c>
    </row>
    <row r="9" spans="1:2" ht="41.4" x14ac:dyDescent="0.25">
      <c r="A9" s="101" t="s">
        <v>39</v>
      </c>
    </row>
    <row r="10" spans="1:2" s="7" customFormat="1" ht="28.2" customHeight="1" x14ac:dyDescent="0.25">
      <c r="A10" s="103" t="s">
        <v>40</v>
      </c>
    </row>
    <row r="11" spans="1:2" s="10" customFormat="1" ht="30" x14ac:dyDescent="0.7">
      <c r="A11" s="100" t="s">
        <v>41</v>
      </c>
    </row>
    <row r="12" spans="1:2" ht="27.6" x14ac:dyDescent="0.25">
      <c r="A12" s="101" t="s">
        <v>42</v>
      </c>
    </row>
    <row r="13" spans="1:2" s="7" customFormat="1" ht="28.2" customHeight="1" x14ac:dyDescent="0.25">
      <c r="A13" s="103" t="s">
        <v>43</v>
      </c>
    </row>
    <row r="14" spans="1:2" s="10" customFormat="1" ht="30" x14ac:dyDescent="0.7">
      <c r="A14" s="100" t="s">
        <v>44</v>
      </c>
    </row>
    <row r="15" spans="1:2" ht="75" customHeight="1" x14ac:dyDescent="0.25">
      <c r="A15" s="101" t="s">
        <v>45</v>
      </c>
    </row>
    <row r="16" spans="1:2" ht="69" x14ac:dyDescent="0.25">
      <c r="A16" s="101" t="s">
        <v>46</v>
      </c>
    </row>
    <row r="17" spans="1:1" x14ac:dyDescent="0.25">
      <c r="A17" s="104"/>
    </row>
    <row r="18" spans="1:1" x14ac:dyDescent="0.25">
      <c r="A18" s="104"/>
    </row>
    <row r="19" spans="1:1" x14ac:dyDescent="0.25">
      <c r="A19" s="104"/>
    </row>
    <row r="20" spans="1:1" x14ac:dyDescent="0.25">
      <c r="A20" s="104"/>
    </row>
    <row r="21" spans="1:1" x14ac:dyDescent="0.25">
      <c r="A21" s="104"/>
    </row>
    <row r="22" spans="1:1" x14ac:dyDescent="0.25">
      <c r="A22" s="104"/>
    </row>
    <row r="23" spans="1:1" x14ac:dyDescent="0.25">
      <c r="A23" s="104"/>
    </row>
    <row r="24" spans="1:1" x14ac:dyDescent="0.25">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www.w3.org/XML/1998/namespace"/>
    <ds:schemaRef ds:uri="http://schemas.microsoft.com/office/2006/metadata/properties"/>
    <ds:schemaRef ds:uri="http://schemas.microsoft.com/office/2006/documentManagement/types"/>
    <ds:schemaRef ds:uri="http://schemas.microsoft.com/sharepoint/v3"/>
    <ds:schemaRef ds:uri="http://purl.org/dc/dcmitype/"/>
    <ds:schemaRef ds:uri="http://schemas.openxmlformats.org/package/2006/metadata/core-properties"/>
    <ds:schemaRef ds:uri="http://schemas.microsoft.com/office/infopath/2007/PartnerControls"/>
    <ds:schemaRef ds:uri="http://purl.org/dc/terms/"/>
    <ds:schemaRef ds:uri="http://purl.org/dc/elements/1.1/"/>
    <ds:schemaRef ds:uri="230e9df3-be65-4c73-a93b-d1236ebd677e"/>
    <ds:schemaRef ds:uri="16c05727-aa75-4e4a-9b5f-8a80a1165891"/>
    <ds:schemaRef ds:uri="71af3243-3dd4-4a8d-8c0d-dd76da1f02a5"/>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Rashid Hamid</cp:lastModifiedBy>
  <cp:revision/>
  <dcterms:created xsi:type="dcterms:W3CDTF">2026-04-09T22:56:55Z</dcterms:created>
  <dcterms:modified xsi:type="dcterms:W3CDTF">2026-04-21T14:50:26Z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